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dudko\Documents\ЦК_Лабораторные\3_\"/>
    </mc:Choice>
  </mc:AlternateContent>
  <xr:revisionPtr revIDLastSave="0" documentId="13_ncr:1_{C3FE4151-99C8-4761-BB37-9D85A12EF2D5}" xr6:coauthVersionLast="45" xr6:coauthVersionMax="45" xr10:uidLastSave="{00000000-0000-0000-0000-000000000000}"/>
  <bookViews>
    <workbookView xWindow="-120" yWindow="-120" windowWidth="29040" windowHeight="15840" firstSheet="4" activeTab="5" xr2:uid="{00000000-000D-0000-FFFF-FFFF00000000}"/>
  </bookViews>
  <sheets>
    <sheet name="Приложение №1. Задание 1" sheetId="1" r:id="rId1"/>
    <sheet name="Приложение №1. Задание 2" sheetId="2" r:id="rId2"/>
    <sheet name="Приложение №1. Задание 3" sheetId="3" r:id="rId3"/>
    <sheet name="Приложение №2" sheetId="4" r:id="rId4"/>
    <sheet name="Приложение №3. Задание 1" sheetId="5" r:id="rId5"/>
    <sheet name="Приложение №3. Задание 2" sheetId="6" r:id="rId6"/>
    <sheet name="Прил. №3. Задание 2. Раб.лист 1" sheetId="7" r:id="rId7"/>
    <sheet name="Прил. №3. Задание 2. Раб.лист 2" sheetId="8" r:id="rId8"/>
  </sheets>
  <definedNames>
    <definedName name="solver_adj" localSheetId="4" hidden="1">'Приложение №3. Задание 1'!$A$6:$C$6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'Приложение №3. Задание 1'!$A$6</definedName>
    <definedName name="solver_lhs2" localSheetId="4" hidden="1">'Приложение №3. Задание 1'!$B$6</definedName>
    <definedName name="solver_lhs3" localSheetId="4" hidden="1">'Приложение №3. Задание 1'!$C$6</definedName>
    <definedName name="solver_lhs4" localSheetId="4" hidden="1">'Приложение №3. Задание 1'!$D$6</definedName>
    <definedName name="solver_lhs5" localSheetId="4" hidden="1">'Приложение №3. Задание 1'!$E$6</definedName>
    <definedName name="solver_lhs6" localSheetId="4" hidden="1">'Приложение №3. Задание 1'!$F$6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6</definedName>
    <definedName name="solver_nwt" localSheetId="4" hidden="1">1</definedName>
    <definedName name="solver_opt" localSheetId="4" hidden="1">'Приложение №3. Задание 1'!$G$6</definedName>
    <definedName name="solver_pre" localSheetId="4" hidden="1">0.000001</definedName>
    <definedName name="solver_rbv" localSheetId="4" hidden="1">1</definedName>
    <definedName name="solver_rel1" localSheetId="4" hidden="1">3</definedName>
    <definedName name="solver_rel2" localSheetId="4" hidden="1">3</definedName>
    <definedName name="solver_rel3" localSheetId="4" hidden="1">3</definedName>
    <definedName name="solver_rel4" localSheetId="4" hidden="1">1</definedName>
    <definedName name="solver_rel5" localSheetId="4" hidden="1">1</definedName>
    <definedName name="solver_rel6" localSheetId="4" hidden="1">1</definedName>
    <definedName name="solver_rhs1" localSheetId="4" hidden="1">0</definedName>
    <definedName name="solver_rhs2" localSheetId="4" hidden="1">0</definedName>
    <definedName name="solver_rhs3" localSheetId="4" hidden="1">0</definedName>
    <definedName name="solver_rhs4" localSheetId="4" hidden="1">83</definedName>
    <definedName name="solver_rhs5" localSheetId="4" hidden="1">29</definedName>
    <definedName name="solver_rhs6" localSheetId="4" hidden="1">30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6" l="1"/>
  <c r="F6" i="6"/>
  <c r="F7" i="6"/>
  <c r="F8" i="6"/>
  <c r="F9" i="6"/>
  <c r="F10" i="6"/>
  <c r="F4" i="6"/>
  <c r="F9" i="2" l="1"/>
  <c r="F10" i="2" s="1"/>
  <c r="E9" i="2"/>
  <c r="E10" i="2" s="1"/>
  <c r="B7" i="3" l="1"/>
  <c r="C6" i="3"/>
  <c r="C7" i="3" l="1"/>
  <c r="D6" i="3"/>
  <c r="D4" i="6"/>
  <c r="D7" i="6"/>
  <c r="D8" i="6"/>
  <c r="C11" i="6"/>
  <c r="E4" i="6" s="1"/>
  <c r="B11" i="6"/>
  <c r="D10" i="6" s="1"/>
  <c r="G6" i="5"/>
  <c r="F6" i="5"/>
  <c r="E6" i="5"/>
  <c r="D6" i="5"/>
  <c r="F3" i="5"/>
  <c r="E3" i="5"/>
  <c r="D3" i="5"/>
  <c r="G3" i="5"/>
  <c r="E6" i="3" l="1"/>
  <c r="D7" i="3"/>
  <c r="D6" i="6"/>
  <c r="D5" i="6"/>
  <c r="E10" i="6"/>
  <c r="D9" i="6"/>
  <c r="E9" i="6"/>
  <c r="E8" i="6"/>
  <c r="E7" i="6"/>
  <c r="E6" i="6"/>
  <c r="E5" i="6"/>
  <c r="E23" i="4"/>
  <c r="E22" i="4"/>
  <c r="E21" i="4"/>
  <c r="E20" i="4"/>
  <c r="E17" i="4"/>
  <c r="E16" i="4"/>
  <c r="E15" i="4"/>
  <c r="E14" i="4"/>
  <c r="E13" i="4"/>
  <c r="E12" i="4"/>
  <c r="E11" i="4"/>
  <c r="E4" i="4"/>
  <c r="E5" i="4"/>
  <c r="E6" i="4"/>
  <c r="E7" i="4"/>
  <c r="E8" i="4"/>
  <c r="E9" i="4"/>
  <c r="E10" i="4"/>
  <c r="E3" i="4"/>
  <c r="A8" i="3"/>
  <c r="D3" i="3"/>
  <c r="C3" i="3"/>
  <c r="J4" i="2"/>
  <c r="J5" i="2" s="1"/>
  <c r="J6" i="2" s="1"/>
  <c r="J7" i="2" s="1"/>
  <c r="J8" i="2" s="1"/>
  <c r="I4" i="2"/>
  <c r="I5" i="2" s="1"/>
  <c r="I6" i="2" s="1"/>
  <c r="I7" i="2" s="1"/>
  <c r="I8" i="2" s="1"/>
  <c r="F4" i="2"/>
  <c r="F5" i="2" s="1"/>
  <c r="F6" i="2" s="1"/>
  <c r="F7" i="2" s="1"/>
  <c r="F8" i="2" s="1"/>
  <c r="E4" i="2"/>
  <c r="E5" i="2" s="1"/>
  <c r="E6" i="2" s="1"/>
  <c r="E7" i="2" s="1"/>
  <c r="E8" i="2" s="1"/>
  <c r="B4" i="2"/>
  <c r="B5" i="2" s="1"/>
  <c r="B6" i="2" s="1"/>
  <c r="B7" i="2" s="1"/>
  <c r="B8" i="2" s="1"/>
  <c r="B9" i="2" s="1"/>
  <c r="B10" i="2" s="1"/>
  <c r="A4" i="2"/>
  <c r="A5" i="2" s="1"/>
  <c r="A6" i="2" s="1"/>
  <c r="A7" i="2" s="1"/>
  <c r="A8" i="2" s="1"/>
  <c r="A9" i="2" s="1"/>
  <c r="A10" i="2" s="1"/>
  <c r="B8" i="3" l="1"/>
  <c r="C8" i="3"/>
  <c r="A9" i="3"/>
  <c r="E9" i="3" s="1"/>
  <c r="D8" i="3"/>
  <c r="F6" i="3"/>
  <c r="E7" i="3"/>
  <c r="E8" i="3"/>
  <c r="B4" i="1"/>
  <c r="B5" i="1" s="1"/>
  <c r="B6" i="1" s="1"/>
  <c r="B7" i="1" s="1"/>
  <c r="B8" i="1" s="1"/>
  <c r="J4" i="1"/>
  <c r="J5" i="1" s="1"/>
  <c r="J6" i="1" s="1"/>
  <c r="J7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I4" i="1"/>
  <c r="I5" i="1" s="1"/>
  <c r="I6" i="1" s="1"/>
  <c r="I7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A4" i="1"/>
  <c r="A5" i="1" s="1"/>
  <c r="A6" i="1" s="1"/>
  <c r="A7" i="1" s="1"/>
  <c r="A8" i="1" s="1"/>
  <c r="A10" i="3" l="1"/>
  <c r="F10" i="3" s="1"/>
  <c r="B9" i="3"/>
  <c r="C9" i="3"/>
  <c r="D9" i="3"/>
  <c r="G6" i="3"/>
  <c r="F7" i="3"/>
  <c r="F9" i="3"/>
  <c r="F8" i="3"/>
  <c r="A11" i="3" l="1"/>
  <c r="G11" i="3" s="1"/>
  <c r="B10" i="3"/>
  <c r="C10" i="3"/>
  <c r="D10" i="3"/>
  <c r="E10" i="3"/>
  <c r="H6" i="3"/>
  <c r="G8" i="3"/>
  <c r="G7" i="3"/>
  <c r="G10" i="3"/>
  <c r="G9" i="3"/>
  <c r="B11" i="3" l="1"/>
  <c r="C11" i="3"/>
  <c r="D11" i="3"/>
  <c r="A12" i="3"/>
  <c r="H12" i="3" s="1"/>
  <c r="E11" i="3"/>
  <c r="F11" i="3"/>
  <c r="H8" i="3"/>
  <c r="H7" i="3"/>
  <c r="H11" i="3"/>
  <c r="I6" i="3"/>
  <c r="H9" i="3"/>
  <c r="H10" i="3"/>
  <c r="B12" i="3" l="1"/>
  <c r="C12" i="3"/>
  <c r="A13" i="3"/>
  <c r="I13" i="3" s="1"/>
  <c r="D12" i="3"/>
  <c r="E12" i="3"/>
  <c r="F12" i="3"/>
  <c r="G12" i="3"/>
  <c r="I8" i="3"/>
  <c r="I12" i="3"/>
  <c r="J6" i="3"/>
  <c r="I11" i="3"/>
  <c r="I7" i="3"/>
  <c r="I10" i="3"/>
  <c r="I9" i="3"/>
  <c r="B13" i="3" l="1"/>
  <c r="C13" i="3"/>
  <c r="A14" i="3"/>
  <c r="J14" i="3" s="1"/>
  <c r="D13" i="3"/>
  <c r="E13" i="3"/>
  <c r="F13" i="3"/>
  <c r="G13" i="3"/>
  <c r="H13" i="3"/>
  <c r="J9" i="3"/>
  <c r="J13" i="3"/>
  <c r="J8" i="3"/>
  <c r="J12" i="3"/>
  <c r="K6" i="3"/>
  <c r="J7" i="3"/>
  <c r="J11" i="3"/>
  <c r="J10" i="3"/>
  <c r="B14" i="3" l="1"/>
  <c r="C14" i="3"/>
  <c r="D14" i="3"/>
  <c r="A15" i="3"/>
  <c r="K15" i="3" s="1"/>
  <c r="E14" i="3"/>
  <c r="F14" i="3"/>
  <c r="G14" i="3"/>
  <c r="H14" i="3"/>
  <c r="I14" i="3"/>
  <c r="K9" i="3"/>
  <c r="K13" i="3"/>
  <c r="K10" i="3"/>
  <c r="K14" i="3"/>
  <c r="K8" i="3"/>
  <c r="K12" i="3"/>
  <c r="K7" i="3"/>
  <c r="K11" i="3"/>
  <c r="B15" i="3" l="1"/>
  <c r="C15" i="3"/>
  <c r="A16" i="3"/>
  <c r="D15" i="3"/>
  <c r="E15" i="3"/>
  <c r="F15" i="3"/>
  <c r="G15" i="3"/>
  <c r="H15" i="3"/>
  <c r="I15" i="3"/>
  <c r="J15" i="3"/>
  <c r="B16" i="3" l="1"/>
  <c r="C16" i="3"/>
  <c r="D16" i="3"/>
  <c r="E16" i="3"/>
  <c r="F16" i="3"/>
  <c r="G16" i="3"/>
  <c r="H16" i="3"/>
  <c r="I16" i="3"/>
  <c r="J16" i="3"/>
  <c r="K16" i="3"/>
</calcChain>
</file>

<file path=xl/sharedStrings.xml><?xml version="1.0" encoding="utf-8"?>
<sst xmlns="http://schemas.openxmlformats.org/spreadsheetml/2006/main" count="119" uniqueCount="71">
  <si>
    <t>Построить арифметическую последовательность</t>
  </si>
  <si>
    <t>a</t>
  </si>
  <si>
    <t>d</t>
  </si>
  <si>
    <t>Построить геометрическую последовательность</t>
  </si>
  <si>
    <t>b</t>
  </si>
  <si>
    <t>q</t>
  </si>
  <si>
    <t>Определить для произвольных значений x и y значения выражений (для второго выражения построить график для десяти значений)</t>
  </si>
  <si>
    <t>x</t>
  </si>
  <si>
    <t>y</t>
  </si>
  <si>
    <t>F1</t>
  </si>
  <si>
    <t>F2</t>
  </si>
  <si>
    <t>№</t>
  </si>
  <si>
    <t>Журнал учета подключения абонентов к сети ИНТЕРНЕТ</t>
  </si>
  <si>
    <t>Дата</t>
  </si>
  <si>
    <t>Абонент</t>
  </si>
  <si>
    <t>Категория</t>
  </si>
  <si>
    <t>Вид доступа к сети</t>
  </si>
  <si>
    <t>Сумма оплаты, руб.</t>
  </si>
  <si>
    <t>Стоимость подключения, руб.</t>
  </si>
  <si>
    <t>Для физ. лиц (Ф)</t>
  </si>
  <si>
    <t>Для юрид. лиц (Ю)</t>
  </si>
  <si>
    <t>По проводам (витая пара)</t>
  </si>
  <si>
    <t>Без проводов (Wi-Fi)</t>
  </si>
  <si>
    <t>Матросов Е.К.</t>
  </si>
  <si>
    <t>Антонов Е.В.</t>
  </si>
  <si>
    <t>МП "Старт"</t>
  </si>
  <si>
    <t>Кораблев А.Н.</t>
  </si>
  <si>
    <t>ООО "Гелиос"</t>
  </si>
  <si>
    <t>Шорохов И.Г.</t>
  </si>
  <si>
    <t>Шишкина А.В.</t>
  </si>
  <si>
    <t>МП "Экспресс"</t>
  </si>
  <si>
    <t>Ф</t>
  </si>
  <si>
    <t>Ю</t>
  </si>
  <si>
    <t>Ч</t>
  </si>
  <si>
    <t>БП</t>
  </si>
  <si>
    <t>ПП</t>
  </si>
  <si>
    <t>ВП</t>
  </si>
  <si>
    <t>Сидоров А.А.</t>
  </si>
  <si>
    <t>Иванов Б.П.</t>
  </si>
  <si>
    <t>МП "Стоп"</t>
  </si>
  <si>
    <t>ООО "Луна"</t>
  </si>
  <si>
    <t>Мышкина У.Н.</t>
  </si>
  <si>
    <t>Иванова Б.Б.</t>
  </si>
  <si>
    <t>ООО "Ракета"</t>
  </si>
  <si>
    <t>Максимальная сумма оплаты подключения:</t>
  </si>
  <si>
    <t>Минимальная сумма оплаты подключения:</t>
  </si>
  <si>
    <t>Юридические лица, имеющие беспроводной доступ к сети интернет:</t>
  </si>
  <si>
    <t>Количество абонентов с минимальной суммой оплаты подключения:</t>
  </si>
  <si>
    <t>1. Решить задачу линейного программирования</t>
  </si>
  <si>
    <t>x1</t>
  </si>
  <si>
    <t>x2</t>
  </si>
  <si>
    <t>x3</t>
  </si>
  <si>
    <t>Условие 1</t>
  </si>
  <si>
    <t>Условие 2</t>
  </si>
  <si>
    <t>Условие 3</t>
  </si>
  <si>
    <t>2. Определить структуру основных фондов предприятия, используя данные, представленные в табл.</t>
  </si>
  <si>
    <t>Наименование показателя</t>
  </si>
  <si>
    <t>Абсолютное значение, тыс. руб.</t>
  </si>
  <si>
    <t>на н.г.</t>
  </si>
  <si>
    <t>на к.г.</t>
  </si>
  <si>
    <t>Земельные участки</t>
  </si>
  <si>
    <t>Здания</t>
  </si>
  <si>
    <t>Сооружения и передаточные устройства</t>
  </si>
  <si>
    <t>Машины и оборудование</t>
  </si>
  <si>
    <t>Транспортные средства</t>
  </si>
  <si>
    <t>Производственный и хоз. Инвентарь</t>
  </si>
  <si>
    <t>Другие виды основных средств</t>
  </si>
  <si>
    <t>Значение общего объема</t>
  </si>
  <si>
    <t>Значение удельного веса показателя</t>
  </si>
  <si>
    <t>Темп прироста</t>
  </si>
  <si>
    <t>x\y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</si>
</sst>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/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0" fontId="0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</a:t>
            </a:r>
            <a:r>
              <a:rPr lang="ru-RU" baseline="0"/>
              <a:t> </a:t>
            </a:r>
            <a:r>
              <a:rPr lang="en-US" baseline="0"/>
              <a:t>F2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'Приложение №1. Задание 3'!$B$6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'Приложение №1. Задание 3'!$A$7:$A$16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'Приложение №1. Задание 3'!$B$7:$B$16</c:f>
              <c:numCache>
                <c:formatCode>General</c:formatCode>
                <c:ptCount val="10"/>
                <c:pt idx="0">
                  <c:v>4.8897460891953771E-55</c:v>
                </c:pt>
                <c:pt idx="1">
                  <c:v>5.4343792585041282E-55</c:v>
                </c:pt>
                <c:pt idx="2">
                  <c:v>5.8648562395365185E-55</c:v>
                </c:pt>
                <c:pt idx="3">
                  <c:v>6.2209903228059369E-55</c:v>
                </c:pt>
                <c:pt idx="4">
                  <c:v>6.5248452671390603E-55</c:v>
                </c:pt>
                <c:pt idx="5">
                  <c:v>6.7899219870150214E-55</c:v>
                </c:pt>
                <c:pt idx="6">
                  <c:v>7.0250823336481634E-55</c:v>
                </c:pt>
                <c:pt idx="7">
                  <c:v>7.2364564562979622E-55</c:v>
                </c:pt>
                <c:pt idx="8">
                  <c:v>7.4284613129438512E-55</c:v>
                </c:pt>
                <c:pt idx="9">
                  <c:v>7.6043849751036284E-55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D-41C1-B025-EC224DD35A81}"/>
            </c:ext>
          </c:extLst>
        </c:ser>
        <c:ser>
          <c:idx val="1"/>
          <c:order val="1"/>
          <c:tx>
            <c:strRef>
              <c:f>'Приложение №1. Задание 3'!$C$6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'Приложение №1. Задание 3'!$A$7:$A$16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'Приложение №1. Задание 3'!$C$7:$C$16</c:f>
              <c:numCache>
                <c:formatCode>General</c:formatCode>
                <c:ptCount val="10"/>
                <c:pt idx="0">
                  <c:v>1.3320040837162911E-28</c:v>
                </c:pt>
                <c:pt idx="1">
                  <c:v>1.4781777907492334E-28</c:v>
                </c:pt>
                <c:pt idx="2">
                  <c:v>1.5925695426165528E-28</c:v>
                </c:pt>
                <c:pt idx="3">
                  <c:v>1.6869932313995697E-28</c:v>
                </c:pt>
                <c:pt idx="4">
                  <c:v>1.7676397467545723E-28</c:v>
                </c:pt>
                <c:pt idx="5">
                  <c:v>1.8381726255838759E-28</c:v>
                </c:pt>
                <c:pt idx="6">
                  <c:v>1.9009461598472602E-28</c:v>
                </c:pt>
                <c:pt idx="7">
                  <c:v>1.9575665497682832E-28</c:v>
                </c:pt>
                <c:pt idx="8">
                  <c:v>2.0091805700627685E-28</c:v>
                </c:pt>
                <c:pt idx="9">
                  <c:v>2.0566367660878917E-28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1D-41C1-B025-EC224DD35A81}"/>
            </c:ext>
          </c:extLst>
        </c:ser>
        <c:ser>
          <c:idx val="2"/>
          <c:order val="2"/>
          <c:tx>
            <c:strRef>
              <c:f>'Приложение №1. Задание 3'!$D$6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'Приложение №1. Задание 3'!$A$7:$A$16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'Приложение №1. Задание 3'!$D$7:$D$16</c:f>
              <c:numCache>
                <c:formatCode>General</c:formatCode>
                <c:ptCount val="10"/>
                <c:pt idx="0">
                  <c:v>1.1315891029861758E-12</c:v>
                </c:pt>
                <c:pt idx="1">
                  <c:v>1.3201872868172051E-12</c:v>
                </c:pt>
                <c:pt idx="2">
                  <c:v>1.4305101520624723E-12</c:v>
                </c:pt>
                <c:pt idx="3">
                  <c:v>1.5087854706482344E-12</c:v>
                </c:pt>
                <c:pt idx="4">
                  <c:v>1.5695005246681742E-12</c:v>
                </c:pt>
                <c:pt idx="5">
                  <c:v>1.6191083358935016E-12</c:v>
                </c:pt>
                <c:pt idx="6">
                  <c:v>1.6610511426553409E-12</c:v>
                </c:pt>
                <c:pt idx="7">
                  <c:v>1.6973836544792637E-12</c:v>
                </c:pt>
                <c:pt idx="8">
                  <c:v>1.7294312011387689E-12</c:v>
                </c:pt>
                <c:pt idx="9">
                  <c:v>1.7580987084992037E-12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1D-41C1-B025-EC224DD35A81}"/>
            </c:ext>
          </c:extLst>
        </c:ser>
        <c:ser>
          <c:idx val="3"/>
          <c:order val="3"/>
          <c:tx>
            <c:strRef>
              <c:f>'Приложение №1. Задание 3'!$E$6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'Приложение №1. Задание 3'!$A$7:$A$16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'Приложение №1. Задание 3'!$E$7:$E$16</c:f>
              <c:numCache>
                <c:formatCode>General</c:formatCode>
                <c:ptCount val="10"/>
                <c:pt idx="0">
                  <c:v>2.3447831447959098E-4</c:v>
                </c:pt>
                <c:pt idx="1">
                  <c:v>1.0098431342292087E-4</c:v>
                </c:pt>
                <c:pt idx="2">
                  <c:v>2.8349880933844471E-4</c:v>
                </c:pt>
                <c:pt idx="3">
                  <c:v>3.2075368484378477E-4</c:v>
                </c:pt>
                <c:pt idx="4">
                  <c:v>3.4625624115915398E-4</c:v>
                </c:pt>
                <c:pt idx="5">
                  <c:v>3.6620879726322563E-4</c:v>
                </c:pt>
                <c:pt idx="6">
                  <c:v>3.8280749877402722E-4</c:v>
                </c:pt>
                <c:pt idx="7">
                  <c:v>3.9711927411905008E-4</c:v>
                </c:pt>
                <c:pt idx="8">
                  <c:v>4.097539208138091E-4</c:v>
                </c:pt>
                <c:pt idx="9">
                  <c:v>4.2109701329572422E-4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1D-41C1-B025-EC224DD35A81}"/>
            </c:ext>
          </c:extLst>
        </c:ser>
        <c:ser>
          <c:idx val="4"/>
          <c:order val="4"/>
          <c:tx>
            <c:strRef>
              <c:f>'Приложение №1. Задание 3'!$F$6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'Приложение №1. Задание 3'!$A$7:$A$16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'Приложение №1. Задание 3'!$F$7:$F$16</c:f>
              <c:numCache>
                <c:formatCode>General</c:formatCode>
                <c:ptCount val="10"/>
                <c:pt idx="0">
                  <c:v>0.32754698797068882</c:v>
                </c:pt>
                <c:pt idx="1">
                  <c:v>0.35174912648780615</c:v>
                </c:pt>
                <c:pt idx="2">
                  <c:v>0.36787944117144233</c:v>
                </c:pt>
                <c:pt idx="3">
                  <c:v>0.33222823974212135</c:v>
                </c:pt>
                <c:pt idx="4">
                  <c:v>0.42163694127623313</c:v>
                </c:pt>
                <c:pt idx="5">
                  <c:v>0.45302938375708235</c:v>
                </c:pt>
                <c:pt idx="6">
                  <c:v>0.47676611383059292</c:v>
                </c:pt>
                <c:pt idx="7">
                  <c:v>0.49636863346208931</c:v>
                </c:pt>
                <c:pt idx="8">
                  <c:v>0.51324696899815048</c:v>
                </c:pt>
                <c:pt idx="9">
                  <c:v>0.52815015459534365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1D-41C1-B025-EC224DD35A81}"/>
            </c:ext>
          </c:extLst>
        </c:ser>
        <c:ser>
          <c:idx val="5"/>
          <c:order val="5"/>
          <c:tx>
            <c:strRef>
              <c:f>'Приложение №1. Задание 3'!$G$6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'Приложение №1. Задание 3'!$A$7:$A$16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'Приложение №1. Задание 3'!$G$7:$G$16</c:f>
              <c:numCache>
                <c:formatCode>General</c:formatCode>
                <c:ptCount val="10"/>
                <c:pt idx="0">
                  <c:v>0.99299085197741765</c:v>
                </c:pt>
                <c:pt idx="1">
                  <c:v>1.0916530391267574</c:v>
                </c:pt>
                <c:pt idx="2">
                  <c:v>1.1693510399505718</c:v>
                </c:pt>
                <c:pt idx="3">
                  <c:v>1.2314615416248762</c:v>
                </c:pt>
                <c:pt idx="4">
                  <c:v>1.2787536009528289</c:v>
                </c:pt>
                <c:pt idx="5">
                  <c:v>1.255272505103306</c:v>
                </c:pt>
                <c:pt idx="6">
                  <c:v>1.3979400086720377</c:v>
                </c:pt>
                <c:pt idx="7">
                  <c:v>1.4629918891931475</c:v>
                </c:pt>
                <c:pt idx="8">
                  <c:v>1.5154631655940412</c:v>
                </c:pt>
                <c:pt idx="9">
                  <c:v>1.5604996864117655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1D-41C1-B025-EC224DD35A81}"/>
            </c:ext>
          </c:extLst>
        </c:ser>
        <c:ser>
          <c:idx val="6"/>
          <c:order val="6"/>
          <c:tx>
            <c:strRef>
              <c:f>'Приложение №1. Задание 3'!$H$6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'Приложение №1. Задание 3'!$A$7:$A$16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'Приложение №1. Задание 3'!$H$7:$H$16</c:f>
              <c:numCache>
                <c:formatCode>General</c:formatCode>
                <c:ptCount val="10"/>
                <c:pt idx="0">
                  <c:v>0.3923030367271545</c:v>
                </c:pt>
                <c:pt idx="1">
                  <c:v>0.43549416384999079</c:v>
                </c:pt>
                <c:pt idx="2">
                  <c:v>0.46907523245730925</c:v>
                </c:pt>
                <c:pt idx="3">
                  <c:v>0.49636863346208931</c:v>
                </c:pt>
                <c:pt idx="4">
                  <c:v>0.51911377318117757</c:v>
                </c:pt>
                <c:pt idx="5">
                  <c:v>0.53820463863472778</c:v>
                </c:pt>
                <c:pt idx="6">
                  <c:v>0.55371373290353554</c:v>
                </c:pt>
                <c:pt idx="7">
                  <c:v>0.55371373290353554</c:v>
                </c:pt>
                <c:pt idx="8">
                  <c:v>0.58936493433285653</c:v>
                </c:pt>
                <c:pt idx="9">
                  <c:v>0.60832372840844418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1D-41C1-B025-EC224DD35A81}"/>
            </c:ext>
          </c:extLst>
        </c:ser>
        <c:ser>
          <c:idx val="7"/>
          <c:order val="7"/>
          <c:tx>
            <c:strRef>
              <c:f>'Приложение №1. Задание 3'!$I$6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'Приложение №1. Задание 3'!$A$7:$A$16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'Приложение №1. Задание 3'!$I$7:$I$16</c:f>
              <c:numCache>
                <c:formatCode>General</c:formatCode>
                <c:ptCount val="10"/>
                <c:pt idx="0">
                  <c:v>3.7723280961481049E-4</c:v>
                </c:pt>
                <c:pt idx="1">
                  <c:v>4.2109701329572422E-4</c:v>
                </c:pt>
                <c:pt idx="2">
                  <c:v>4.5458583490001975E-4</c:v>
                </c:pt>
                <c:pt idx="3">
                  <c:v>4.8161060108032358E-4</c:v>
                </c:pt>
                <c:pt idx="4">
                  <c:v>5.0419085181917808E-4</c:v>
                </c:pt>
                <c:pt idx="5">
                  <c:v>5.2348932564473647E-4</c:v>
                </c:pt>
                <c:pt idx="6">
                  <c:v>5.40205547245938E-4</c:v>
                </c:pt>
                <c:pt idx="7">
                  <c:v>5.5471943715454375E-4</c:v>
                </c:pt>
                <c:pt idx="8">
                  <c:v>5.6699761867688942E-4</c:v>
                </c:pt>
                <c:pt idx="9">
                  <c:v>5.6994094238210281E-4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1D-41C1-B025-EC224DD35A81}"/>
            </c:ext>
          </c:extLst>
        </c:ser>
        <c:ser>
          <c:idx val="8"/>
          <c:order val="8"/>
          <c:tx>
            <c:strRef>
              <c:f>'Приложение №1. Задание 3'!$J$6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'Приложение №1. Задание 3'!$A$7:$A$16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'Приложение №1. Задание 3'!$J$7:$J$16</c:f>
              <c:numCache>
                <c:formatCode>General</c:formatCode>
                <c:ptCount val="10"/>
                <c:pt idx="0">
                  <c:v>2.2048138726252271E-12</c:v>
                </c:pt>
                <c:pt idx="1">
                  <c:v>2.4701538925290895E-12</c:v>
                </c:pt>
                <c:pt idx="2">
                  <c:v>2.6694786469101028E-12</c:v>
                </c:pt>
                <c:pt idx="3">
                  <c:v>2.8289727574654397E-12</c:v>
                </c:pt>
                <c:pt idx="4">
                  <c:v>2.9617330811039514E-12</c:v>
                </c:pt>
                <c:pt idx="5">
                  <c:v>3.0752317888885618E-12</c:v>
                </c:pt>
                <c:pt idx="6">
                  <c:v>3.1741009007286666E-12</c:v>
                </c:pt>
                <c:pt idx="7">
                  <c:v>3.2613516093811892E-12</c:v>
                </c:pt>
                <c:pt idx="8">
                  <c:v>3.3389377910165502E-12</c:v>
                </c:pt>
                <c:pt idx="9">
                  <c:v>3.4079210971956797E-12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1D-41C1-B025-EC224DD35A81}"/>
            </c:ext>
          </c:extLst>
        </c:ser>
        <c:ser>
          <c:idx val="9"/>
          <c:order val="9"/>
          <c:tx>
            <c:strRef>
              <c:f>'Приложение №1. Задание 3'!$K$6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'Приложение №1. Задание 3'!$A$7:$A$16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'Приложение №1. Задание 3'!$K$7:$K$16</c:f>
              <c:numCache>
                <c:formatCode>General</c:formatCode>
                <c:ptCount val="10"/>
                <c:pt idx="0">
                  <c:v>1.9486064995978938E-28</c:v>
                </c:pt>
                <c:pt idx="1">
                  <c:v>2.1887138017784852E-28</c:v>
                </c:pt>
                <c:pt idx="2">
                  <c:v>2.366602480278325E-28</c:v>
                </c:pt>
                <c:pt idx="3">
                  <c:v>2.5078654924239119E-28</c:v>
                </c:pt>
                <c:pt idx="4">
                  <c:v>2.6249441482808616E-28</c:v>
                </c:pt>
                <c:pt idx="5">
                  <c:v>2.7248265956695733E-28</c:v>
                </c:pt>
                <c:pt idx="6">
                  <c:v>2.8118223213884389E-28</c:v>
                </c:pt>
                <c:pt idx="7">
                  <c:v>2.8887639954806512E-28</c:v>
                </c:pt>
                <c:pt idx="8">
                  <c:v>2.9575934889472621E-28</c:v>
                </c:pt>
                <c:pt idx="9">
                  <c:v>3.0196660346645796E-28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1D-41C1-B025-EC224DD35A81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712975455"/>
        <c:axId val="1730539887"/>
        <c:axId val="1730384255"/>
      </c:surface3DChart>
      <c:catAx>
        <c:axId val="1712975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0539887"/>
        <c:crosses val="autoZero"/>
        <c:auto val="1"/>
        <c:lblAlgn val="ctr"/>
        <c:lblOffset val="100"/>
        <c:noMultiLvlLbl val="0"/>
      </c:catAx>
      <c:valAx>
        <c:axId val="173053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2975455"/>
        <c:crosses val="autoZero"/>
        <c:crossBetween val="midCat"/>
      </c:valAx>
      <c:serAx>
        <c:axId val="17303842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053988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Структура основных средств предприятия на начало года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BC-44A2-9F24-B4E6E0E233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BC-44A2-9F24-B4E6E0E233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BC-44A2-9F24-B4E6E0E23317}"/>
              </c:ext>
            </c:extLst>
          </c:dPt>
          <c:dPt>
            <c:idx val="3"/>
            <c:bubble3D val="0"/>
            <c:explosion val="12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BC-44A2-9F24-B4E6E0E233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BC-44A2-9F24-B4E6E0E233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BC-44A2-9F24-B4E6E0E233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7BC-44A2-9F24-B4E6E0E233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'Приложение №3. Задание 2'!$A$4:$A$10</c:f>
              <c:strCache>
                <c:ptCount val="7"/>
                <c:pt idx="0">
                  <c:v>Земельные участки</c:v>
                </c:pt>
                <c:pt idx="1">
                  <c:v>Здания</c:v>
                </c:pt>
                <c:pt idx="2">
                  <c:v>Сооружения и передаточные устройства</c:v>
                </c:pt>
                <c:pt idx="3">
                  <c:v>Машины и оборудование</c:v>
                </c:pt>
                <c:pt idx="4">
                  <c:v>Транспортные средства</c:v>
                </c:pt>
                <c:pt idx="5">
                  <c:v>Производственный и хоз. Инвентарь</c:v>
                </c:pt>
                <c:pt idx="6">
                  <c:v>Другие виды основных средств</c:v>
                </c:pt>
              </c:strCache>
            </c:strRef>
          </c:cat>
          <c:val>
            <c:numRef>
              <c:f>'Приложение №3. Задание 2'!$D$4:$D$10</c:f>
              <c:numCache>
                <c:formatCode>0.00%</c:formatCode>
                <c:ptCount val="7"/>
                <c:pt idx="0">
                  <c:v>5.6667424305862933E-2</c:v>
                </c:pt>
                <c:pt idx="1">
                  <c:v>0.23816416617249223</c:v>
                </c:pt>
                <c:pt idx="2">
                  <c:v>0.2175968254348023</c:v>
                </c:pt>
                <c:pt idx="3">
                  <c:v>0.44857139439221672</c:v>
                </c:pt>
                <c:pt idx="4">
                  <c:v>2.9961497117837958E-2</c:v>
                </c:pt>
                <c:pt idx="5">
                  <c:v>8.4866983052237794E-3</c:v>
                </c:pt>
                <c:pt idx="6">
                  <c:v>5.5199427156409206E-4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7BC-44A2-9F24-B4E6E0E233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основных средств предприятия на конец года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5-48BE-9862-3AE83973E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5-48BE-9862-3AE83973E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5-48BE-9862-3AE83973ED10}"/>
              </c:ext>
            </c:extLst>
          </c:dPt>
          <c:dPt>
            <c:idx val="3"/>
            <c:bubble3D val="0"/>
            <c:explosion val="1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15-48BE-9862-3AE83973E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15-48BE-9862-3AE83973E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15-48BE-9862-3AE83973E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15-48BE-9862-3AE83973ED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'Приложение №3. Задание 2'!$A$4:$A$10</c:f>
              <c:strCache>
                <c:ptCount val="7"/>
                <c:pt idx="0">
                  <c:v>Земельные участки</c:v>
                </c:pt>
                <c:pt idx="1">
                  <c:v>Здания</c:v>
                </c:pt>
                <c:pt idx="2">
                  <c:v>Сооружения и передаточные устройства</c:v>
                </c:pt>
                <c:pt idx="3">
                  <c:v>Машины и оборудование</c:v>
                </c:pt>
                <c:pt idx="4">
                  <c:v>Транспортные средства</c:v>
                </c:pt>
                <c:pt idx="5">
                  <c:v>Производственный и хоз. Инвентарь</c:v>
                </c:pt>
                <c:pt idx="6">
                  <c:v>Другие виды основных средств</c:v>
                </c:pt>
              </c:strCache>
            </c:strRef>
          </c:cat>
          <c:val>
            <c:numRef>
              <c:f>'Приложение №3. Задание 2'!$E$4:$E$10</c:f>
              <c:numCache>
                <c:formatCode>0.00%</c:formatCode>
                <c:ptCount val="7"/>
                <c:pt idx="0">
                  <c:v>4.763204428936909E-2</c:v>
                </c:pt>
                <c:pt idx="1">
                  <c:v>0.20528651193925437</c:v>
                </c:pt>
                <c:pt idx="2">
                  <c:v>0.19291416061791369</c:v>
                </c:pt>
                <c:pt idx="3">
                  <c:v>0.51789918537554458</c:v>
                </c:pt>
                <c:pt idx="4">
                  <c:v>2.7825939561789213E-2</c:v>
                </c:pt>
                <c:pt idx="5">
                  <c:v>7.9781770856526407E-3</c:v>
                </c:pt>
                <c:pt idx="6">
                  <c:v>4.6398113047637789E-4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715-48BE-9862-3AE83973E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Анализ основных средств предприятия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Начало года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'Приложение №3. Задание 2'!$A$4:$A$10</c:f>
              <c:strCache>
                <c:ptCount val="7"/>
                <c:pt idx="0">
                  <c:v>Земельные участки</c:v>
                </c:pt>
                <c:pt idx="1">
                  <c:v>Здания</c:v>
                </c:pt>
                <c:pt idx="2">
                  <c:v>Сооружения и передаточные устройства</c:v>
                </c:pt>
                <c:pt idx="3">
                  <c:v>Машины и оборудование</c:v>
                </c:pt>
                <c:pt idx="4">
                  <c:v>Транспортные средства</c:v>
                </c:pt>
                <c:pt idx="5">
                  <c:v>Производственный и хоз. Инвентарь</c:v>
                </c:pt>
                <c:pt idx="6">
                  <c:v>Другие виды основных средств</c:v>
                </c:pt>
              </c:strCache>
            </c:strRef>
          </c:cat>
          <c:val>
            <c:numRef>
              <c:f>'Приложение №3. Задание 2'!$B$4:$B$10</c:f>
              <c:numCache>
                <c:formatCode>General</c:formatCode>
                <c:ptCount val="7"/>
                <c:pt idx="0">
                  <c:v>33159</c:v>
                </c:pt>
                <c:pt idx="1">
                  <c:v>139362</c:v>
                </c:pt>
                <c:pt idx="2">
                  <c:v>127327</c:v>
                </c:pt>
                <c:pt idx="3">
                  <c:v>262482</c:v>
                </c:pt>
                <c:pt idx="4">
                  <c:v>17532</c:v>
                </c:pt>
                <c:pt idx="5">
                  <c:v>4966</c:v>
                </c:pt>
                <c:pt idx="6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0-4EE5-B650-578EB8E88A9E}"/>
            </c:ext>
          </c:extLst>
        </c:ser>
        <c:ser>
          <c:idx val="1"/>
          <c:order val="1"/>
          <c:tx>
            <c:v>Конец года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'Приложение №3. Задание 2'!$A$4:$A$10</c:f>
              <c:strCache>
                <c:ptCount val="7"/>
                <c:pt idx="0">
                  <c:v>Земельные участки</c:v>
                </c:pt>
                <c:pt idx="1">
                  <c:v>Здания</c:v>
                </c:pt>
                <c:pt idx="2">
                  <c:v>Сооружения и передаточные устройства</c:v>
                </c:pt>
                <c:pt idx="3">
                  <c:v>Машины и оборудование</c:v>
                </c:pt>
                <c:pt idx="4">
                  <c:v>Транспортные средства</c:v>
                </c:pt>
                <c:pt idx="5">
                  <c:v>Производственный и хоз. Инвентарь</c:v>
                </c:pt>
                <c:pt idx="6">
                  <c:v>Другие виды основных средств</c:v>
                </c:pt>
              </c:strCache>
            </c:strRef>
          </c:cat>
          <c:val>
            <c:numRef>
              <c:f>'Приложение №3. Задание 2'!$C$4:$C$10</c:f>
              <c:numCache>
                <c:formatCode>General</c:formatCode>
                <c:ptCount val="7"/>
                <c:pt idx="0">
                  <c:v>33159</c:v>
                </c:pt>
                <c:pt idx="1">
                  <c:v>142910</c:v>
                </c:pt>
                <c:pt idx="2">
                  <c:v>134297</c:v>
                </c:pt>
                <c:pt idx="3">
                  <c:v>360535</c:v>
                </c:pt>
                <c:pt idx="4">
                  <c:v>19371</c:v>
                </c:pt>
                <c:pt idx="5">
                  <c:v>5554</c:v>
                </c:pt>
                <c:pt idx="6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60-4EE5-B650-578EB8E8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771759"/>
        <c:axId val="1730530319"/>
      </c:areaChart>
      <c:catAx>
        <c:axId val="1631771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0530319"/>
        <c:crosses val="autoZero"/>
        <c:auto val="1"/>
        <c:lblAlgn val="ctr"/>
        <c:lblOffset val="100"/>
        <c:noMultiLvlLbl val="0"/>
      </c:catAx>
      <c:valAx>
        <c:axId val="173053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1771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605250</xdr:colOff>
      <xdr:row>5</xdr:row>
      <xdr:rowOff>900</xdr:rowOff>
    </xdr:from>
    <xdr:to>
      <xdr:col>17</xdr:col>
      <xdr:colOff>437250</xdr:colOff>
      <xdr:row>19</xdr:row>
      <xdr:rowOff>119100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6DF18E1-9643-4EDC-8558-AA9A7CD56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276224</xdr:colOff>
      <xdr:row>21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AC2F4AA-955C-408C-B7E7-B660EA5E2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276225</xdr:colOff>
      <xdr:row>0</xdr:row>
      <xdr:rowOff>0</xdr:rowOff>
    </xdr:from>
    <xdr:to>
      <xdr:col>22</xdr:col>
      <xdr:colOff>571499</xdr:colOff>
      <xdr:row>21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25C1571-30D9-4B00-AB09-47B26DCAB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57150</xdr:colOff>
      <xdr:row>28</xdr:row>
      <xdr:rowOff>186690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B56462E-6294-47E9-BD0F-C412F6EC9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zoomScale="157" zoomScaleNormal="100" workbookViewId="0">
      <selection activeCell="J7" sqref="J7"/>
    </sheetView>
  </sheetViews>
  <sheetFormatPr defaultRowHeight="15" x14ac:dyDescent="0.25"/>
  <sheetData>
    <row r="1" spans="1:11" ht="15.7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2" t="s">
        <v>11</v>
      </c>
      <c r="B2" s="2" t="s">
        <v>1</v>
      </c>
      <c r="C2" s="2" t="s">
        <v>2</v>
      </c>
      <c r="D2" s="1"/>
      <c r="E2" s="2" t="s">
        <v>11</v>
      </c>
      <c r="F2" s="2" t="s">
        <v>1</v>
      </c>
      <c r="G2" s="2" t="s">
        <v>2</v>
      </c>
      <c r="H2" s="1"/>
      <c r="I2" s="2" t="s">
        <v>11</v>
      </c>
      <c r="J2" s="2" t="s">
        <v>1</v>
      </c>
      <c r="K2" s="2" t="s">
        <v>2</v>
      </c>
    </row>
    <row r="3" spans="1:11" x14ac:dyDescent="0.25">
      <c r="A3" s="2">
        <v>1</v>
      </c>
      <c r="B3" s="2">
        <v>4</v>
      </c>
      <c r="C3" s="2">
        <v>13</v>
      </c>
      <c r="D3" s="1"/>
      <c r="E3" s="2">
        <v>1</v>
      </c>
      <c r="F3" s="3">
        <v>0.21</v>
      </c>
      <c r="G3" s="4">
        <v>0.09</v>
      </c>
      <c r="H3" s="1"/>
      <c r="I3" s="2">
        <v>1</v>
      </c>
      <c r="J3" s="2">
        <v>1.4</v>
      </c>
      <c r="K3" s="2">
        <v>1.5</v>
      </c>
    </row>
    <row r="4" spans="1:11" x14ac:dyDescent="0.25">
      <c r="A4" s="2">
        <f>A3+1</f>
        <v>2</v>
      </c>
      <c r="B4" s="2">
        <f>B3+C$3</f>
        <v>17</v>
      </c>
      <c r="C4" s="1"/>
      <c r="D4" s="1"/>
      <c r="E4" s="2">
        <f t="shared" ref="E4:E14" si="0">E3+1</f>
        <v>2</v>
      </c>
      <c r="F4" s="3">
        <f t="shared" ref="F4:F14" si="1">F3+G$3</f>
        <v>0.3</v>
      </c>
      <c r="G4" s="1"/>
      <c r="H4" s="1"/>
      <c r="I4" s="2">
        <f>I3+1</f>
        <v>2</v>
      </c>
      <c r="J4" s="2">
        <f>J3+K$3</f>
        <v>2.9</v>
      </c>
      <c r="K4" s="1"/>
    </row>
    <row r="5" spans="1:11" x14ac:dyDescent="0.25">
      <c r="A5" s="2">
        <f>A4+1</f>
        <v>3</v>
      </c>
      <c r="B5" s="2">
        <f>B4+C$3</f>
        <v>30</v>
      </c>
      <c r="C5" s="1"/>
      <c r="D5" s="1"/>
      <c r="E5" s="2">
        <f t="shared" si="0"/>
        <v>3</v>
      </c>
      <c r="F5" s="3">
        <f t="shared" si="1"/>
        <v>0.39</v>
      </c>
      <c r="G5" s="1"/>
      <c r="H5" s="1"/>
      <c r="I5" s="2">
        <f>I4+1</f>
        <v>3</v>
      </c>
      <c r="J5" s="2">
        <f>J4+K$3</f>
        <v>4.4000000000000004</v>
      </c>
      <c r="K5" s="1"/>
    </row>
    <row r="6" spans="1:11" x14ac:dyDescent="0.25">
      <c r="A6" s="2">
        <f>A5+1</f>
        <v>4</v>
      </c>
      <c r="B6" s="2">
        <f>B5+C$3</f>
        <v>43</v>
      </c>
      <c r="C6" s="1"/>
      <c r="D6" s="1"/>
      <c r="E6" s="2">
        <f t="shared" si="0"/>
        <v>4</v>
      </c>
      <c r="F6" s="3">
        <f t="shared" si="1"/>
        <v>0.48</v>
      </c>
      <c r="G6" s="1"/>
      <c r="H6" s="1"/>
      <c r="I6" s="2">
        <f>I5+1</f>
        <v>4</v>
      </c>
      <c r="J6" s="2">
        <f>J5+K$3</f>
        <v>5.9</v>
      </c>
      <c r="K6" s="1"/>
    </row>
    <row r="7" spans="1:11" x14ac:dyDescent="0.25">
      <c r="A7" s="2">
        <f>A6+1</f>
        <v>5</v>
      </c>
      <c r="B7" s="2">
        <f>B6+C$3</f>
        <v>56</v>
      </c>
      <c r="C7" s="1"/>
      <c r="D7" s="1"/>
      <c r="E7" s="2">
        <f t="shared" si="0"/>
        <v>5</v>
      </c>
      <c r="F7" s="3">
        <f t="shared" si="1"/>
        <v>0.56999999999999995</v>
      </c>
      <c r="G7" s="1"/>
      <c r="H7" s="1"/>
      <c r="I7" s="2">
        <f>I6+1</f>
        <v>5</v>
      </c>
      <c r="J7" s="2">
        <f>J6+K$3</f>
        <v>7.4</v>
      </c>
      <c r="K7" s="1"/>
    </row>
    <row r="8" spans="1:11" x14ac:dyDescent="0.25">
      <c r="A8" s="2">
        <f>A7+1</f>
        <v>6</v>
      </c>
      <c r="B8" s="2">
        <f>B7+C$3</f>
        <v>69</v>
      </c>
      <c r="C8" s="1"/>
      <c r="D8" s="1"/>
      <c r="E8" s="2">
        <f t="shared" si="0"/>
        <v>6</v>
      </c>
      <c r="F8" s="3">
        <f t="shared" si="1"/>
        <v>0.65999999999999992</v>
      </c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2">
        <f t="shared" si="0"/>
        <v>7</v>
      </c>
      <c r="F9" s="3">
        <f t="shared" si="1"/>
        <v>0.74999999999999989</v>
      </c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2">
        <f t="shared" si="0"/>
        <v>8</v>
      </c>
      <c r="F10" s="3">
        <f t="shared" si="1"/>
        <v>0.83999999999999986</v>
      </c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2">
        <f t="shared" si="0"/>
        <v>9</v>
      </c>
      <c r="F11" s="3">
        <f t="shared" si="1"/>
        <v>0.92999999999999983</v>
      </c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2">
        <f t="shared" si="0"/>
        <v>10</v>
      </c>
      <c r="F12" s="3">
        <f t="shared" si="1"/>
        <v>1.0199999999999998</v>
      </c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2">
        <f t="shared" si="0"/>
        <v>11</v>
      </c>
      <c r="F13" s="3">
        <f t="shared" si="1"/>
        <v>1.1099999999999999</v>
      </c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2">
        <f t="shared" si="0"/>
        <v>12</v>
      </c>
      <c r="F14" s="3">
        <f t="shared" si="1"/>
        <v>1.2</v>
      </c>
      <c r="G14" s="1"/>
      <c r="H14" s="1"/>
      <c r="I14" s="1"/>
      <c r="J14" s="1"/>
      <c r="K14" s="1"/>
    </row>
  </sheetData>
  <mergeCells count="1">
    <mergeCell ref="A1:K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DA33-680A-437D-83A8-D04ADD4567E0}">
  <dimension ref="A1:K11"/>
  <sheetViews>
    <sheetView zoomScale="158" workbookViewId="0">
      <selection activeCell="G9" sqref="G9"/>
    </sheetView>
  </sheetViews>
  <sheetFormatPr defaultRowHeight="15" x14ac:dyDescent="0.25"/>
  <sheetData>
    <row r="1" spans="1:11" ht="15.75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2" t="s">
        <v>11</v>
      </c>
      <c r="B2" s="2" t="s">
        <v>4</v>
      </c>
      <c r="C2" s="2" t="s">
        <v>5</v>
      </c>
      <c r="D2" s="1"/>
      <c r="E2" s="2" t="s">
        <v>11</v>
      </c>
      <c r="F2" s="2" t="s">
        <v>4</v>
      </c>
      <c r="G2" s="2" t="s">
        <v>5</v>
      </c>
      <c r="H2" s="1"/>
      <c r="I2" s="2" t="s">
        <v>11</v>
      </c>
      <c r="J2" s="2" t="s">
        <v>4</v>
      </c>
      <c r="K2" s="2" t="s">
        <v>5</v>
      </c>
    </row>
    <row r="3" spans="1:11" x14ac:dyDescent="0.25">
      <c r="A3" s="2">
        <v>1</v>
      </c>
      <c r="B3" s="2">
        <v>1</v>
      </c>
      <c r="C3" s="2">
        <v>1.7</v>
      </c>
      <c r="D3" s="1"/>
      <c r="E3" s="2">
        <v>1</v>
      </c>
      <c r="F3" s="10">
        <v>6.1999999999999999E-8</v>
      </c>
      <c r="G3" s="2">
        <v>0.5</v>
      </c>
      <c r="H3" s="1"/>
      <c r="I3" s="2">
        <v>1</v>
      </c>
      <c r="J3" s="16">
        <v>5.5</v>
      </c>
      <c r="K3" s="2">
        <v>0.9</v>
      </c>
    </row>
    <row r="4" spans="1:11" x14ac:dyDescent="0.25">
      <c r="A4" s="2">
        <f t="shared" ref="A4:A10" si="0">A3+1</f>
        <v>2</v>
      </c>
      <c r="B4" s="2">
        <f t="shared" ref="B4:B10" si="1">B3*C$3</f>
        <v>1.7</v>
      </c>
      <c r="C4" s="1"/>
      <c r="D4" s="1"/>
      <c r="E4" s="2">
        <f>E3+1</f>
        <v>2</v>
      </c>
      <c r="F4" s="10">
        <f>F3*G$3</f>
        <v>3.1E-8</v>
      </c>
      <c r="G4" s="1"/>
      <c r="H4" s="1"/>
      <c r="I4" s="2">
        <f>I3+1</f>
        <v>2</v>
      </c>
      <c r="J4" s="16">
        <f>J3*K$3</f>
        <v>4.95</v>
      </c>
      <c r="K4" s="1"/>
    </row>
    <row r="5" spans="1:11" x14ac:dyDescent="0.25">
      <c r="A5" s="2">
        <f t="shared" si="0"/>
        <v>3</v>
      </c>
      <c r="B5" s="2">
        <f t="shared" si="1"/>
        <v>2.8899999999999997</v>
      </c>
      <c r="C5" s="1"/>
      <c r="D5" s="1"/>
      <c r="E5" s="2">
        <f>E4+1</f>
        <v>3</v>
      </c>
      <c r="F5" s="10">
        <f>F4*G$3</f>
        <v>1.55E-8</v>
      </c>
      <c r="G5" s="1"/>
      <c r="H5" s="1"/>
      <c r="I5" s="2">
        <f>I4+1</f>
        <v>3</v>
      </c>
      <c r="J5" s="16">
        <f>J4*K$3</f>
        <v>4.4550000000000001</v>
      </c>
      <c r="K5" s="1"/>
    </row>
    <row r="6" spans="1:11" x14ac:dyDescent="0.25">
      <c r="A6" s="2">
        <f t="shared" si="0"/>
        <v>4</v>
      </c>
      <c r="B6" s="2">
        <f t="shared" si="1"/>
        <v>4.9129999999999994</v>
      </c>
      <c r="C6" s="1"/>
      <c r="D6" s="1"/>
      <c r="E6" s="2">
        <f>E5+1</f>
        <v>4</v>
      </c>
      <c r="F6" s="10">
        <f>F5*G$3</f>
        <v>7.7499999999999999E-9</v>
      </c>
      <c r="G6" s="1"/>
      <c r="H6" s="1"/>
      <c r="I6" s="2">
        <f>I5+1</f>
        <v>4</v>
      </c>
      <c r="J6" s="16">
        <f>J5*K$3</f>
        <v>4.0095000000000001</v>
      </c>
      <c r="K6" s="1"/>
    </row>
    <row r="7" spans="1:11" x14ac:dyDescent="0.25">
      <c r="A7" s="2">
        <f t="shared" si="0"/>
        <v>5</v>
      </c>
      <c r="B7" s="2">
        <f t="shared" si="1"/>
        <v>8.3520999999999983</v>
      </c>
      <c r="C7" s="1"/>
      <c r="D7" s="1"/>
      <c r="E7" s="2">
        <f>E6+1</f>
        <v>5</v>
      </c>
      <c r="F7" s="10">
        <f>F6*G$3</f>
        <v>3.875E-9</v>
      </c>
      <c r="G7" s="1"/>
      <c r="H7" s="1"/>
      <c r="I7" s="2">
        <f>I6+1</f>
        <v>5</v>
      </c>
      <c r="J7" s="16">
        <f>J6*K$3</f>
        <v>3.6085500000000001</v>
      </c>
      <c r="K7" s="1"/>
    </row>
    <row r="8" spans="1:11" x14ac:dyDescent="0.25">
      <c r="A8" s="2">
        <f t="shared" si="0"/>
        <v>6</v>
      </c>
      <c r="B8" s="2">
        <f t="shared" si="1"/>
        <v>14.198569999999997</v>
      </c>
      <c r="C8" s="1"/>
      <c r="D8" s="1"/>
      <c r="E8" s="2">
        <f>E7+1</f>
        <v>6</v>
      </c>
      <c r="F8" s="10">
        <f>F7*G$3</f>
        <v>1.9375E-9</v>
      </c>
      <c r="G8" s="1"/>
      <c r="H8" s="1"/>
      <c r="I8" s="2">
        <f>I7+1</f>
        <v>6</v>
      </c>
      <c r="J8" s="16">
        <f>J7*K$3</f>
        <v>3.2476950000000002</v>
      </c>
      <c r="K8" s="1"/>
    </row>
    <row r="9" spans="1:11" x14ac:dyDescent="0.25">
      <c r="A9" s="2">
        <f t="shared" si="0"/>
        <v>7</v>
      </c>
      <c r="B9" s="2">
        <f t="shared" si="1"/>
        <v>24.137568999999992</v>
      </c>
      <c r="C9" s="1"/>
      <c r="D9" s="1"/>
      <c r="E9" s="15">
        <f t="shared" ref="E9:E10" si="2">E8+1</f>
        <v>7</v>
      </c>
      <c r="F9" s="10">
        <f t="shared" ref="F9:F10" si="3">F8*G$3</f>
        <v>9.6874999999999999E-10</v>
      </c>
      <c r="G9" s="1"/>
      <c r="H9" s="1"/>
      <c r="I9" s="1"/>
      <c r="J9" s="1"/>
      <c r="K9" s="1"/>
    </row>
    <row r="10" spans="1:11" x14ac:dyDescent="0.25">
      <c r="A10" s="2">
        <f t="shared" si="0"/>
        <v>8</v>
      </c>
      <c r="B10" s="2">
        <f t="shared" si="1"/>
        <v>41.033867299999983</v>
      </c>
      <c r="C10" s="1"/>
      <c r="D10" s="1"/>
      <c r="E10" s="15">
        <f t="shared" si="2"/>
        <v>8</v>
      </c>
      <c r="F10" s="10">
        <f t="shared" si="3"/>
        <v>4.8437499999999999E-10</v>
      </c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2FC4-2972-4183-92BC-1F2DB6A6A5A0}">
  <dimension ref="A1:M16"/>
  <sheetViews>
    <sheetView zoomScale="127" workbookViewId="0">
      <selection activeCell="B6" sqref="B6"/>
    </sheetView>
  </sheetViews>
  <sheetFormatPr defaultRowHeight="15" x14ac:dyDescent="0.25"/>
  <cols>
    <col min="3" max="3" width="17.42578125" customWidth="1"/>
    <col min="13" max="13" width="16.42578125" customWidth="1"/>
  </cols>
  <sheetData>
    <row r="1" spans="1:13" x14ac:dyDescent="0.25">
      <c r="A1" s="19" t="s">
        <v>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25">
      <c r="A2" s="2" t="s">
        <v>7</v>
      </c>
      <c r="B2" s="2" t="s">
        <v>8</v>
      </c>
      <c r="C2" s="2" t="s">
        <v>9</v>
      </c>
      <c r="D2" s="2" t="s">
        <v>10</v>
      </c>
    </row>
    <row r="3" spans="1:13" x14ac:dyDescent="0.25">
      <c r="A3" s="2">
        <v>1</v>
      </c>
      <c r="B3" s="2">
        <v>1</v>
      </c>
      <c r="C3" s="2">
        <f>(POWER(TAN(SIN(ABS(2*B3 + A3)^(1/3))),4)) / (4*FACT(A3)+B3)</f>
        <v>1.0945378535540655</v>
      </c>
      <c r="D3" s="2">
        <f>(LOG10(ABS(A3*B3)+4*(ABS(A3-2*B3)^(1/3)))/EXP(POWER(ABS(B3-3),3)))</f>
        <v>2.3447831447959098E-4</v>
      </c>
    </row>
    <row r="6" spans="1:13" x14ac:dyDescent="0.25">
      <c r="A6" s="2" t="s">
        <v>70</v>
      </c>
      <c r="B6" s="2">
        <v>-2</v>
      </c>
      <c r="C6" s="2">
        <f>B6+1</f>
        <v>-1</v>
      </c>
      <c r="D6" s="11">
        <f t="shared" ref="D6:J6" si="0">C6+1</f>
        <v>0</v>
      </c>
      <c r="E6" s="11">
        <f t="shared" si="0"/>
        <v>1</v>
      </c>
      <c r="F6" s="11">
        <f t="shared" si="0"/>
        <v>2</v>
      </c>
      <c r="G6" s="11">
        <f t="shared" si="0"/>
        <v>3</v>
      </c>
      <c r="H6" s="11">
        <f t="shared" si="0"/>
        <v>4</v>
      </c>
      <c r="I6" s="11">
        <f>H6+1</f>
        <v>5</v>
      </c>
      <c r="J6" s="11">
        <f t="shared" si="0"/>
        <v>6</v>
      </c>
      <c r="K6" s="11">
        <f>J6+1</f>
        <v>7</v>
      </c>
    </row>
    <row r="7" spans="1:13" x14ac:dyDescent="0.25">
      <c r="A7" s="2">
        <v>1</v>
      </c>
      <c r="B7" s="11">
        <f>(LOG10(ABS($A7*B$6)+4*(ABS($A7-2*B$6)^(1/3)))/EXP(POWER(ABS(B$6-3),3)))</f>
        <v>4.8897460891953771E-55</v>
      </c>
      <c r="C7" s="11">
        <f t="shared" ref="C7:K7" si="1">(LOG10(ABS($A7*C$6)+4*(ABS($A7-2*C$6)^(1/3)))/EXP(POWER(ABS(C$6-3),3)))</f>
        <v>1.3320040837162911E-28</v>
      </c>
      <c r="D7" s="11">
        <f t="shared" si="1"/>
        <v>1.1315891029861758E-12</v>
      </c>
      <c r="E7" s="11">
        <f t="shared" si="1"/>
        <v>2.3447831447959098E-4</v>
      </c>
      <c r="F7" s="11">
        <f t="shared" si="1"/>
        <v>0.32754698797068882</v>
      </c>
      <c r="G7" s="11">
        <f t="shared" si="1"/>
        <v>0.99299085197741765</v>
      </c>
      <c r="H7" s="11">
        <f t="shared" si="1"/>
        <v>0.3923030367271545</v>
      </c>
      <c r="I7" s="11">
        <f t="shared" si="1"/>
        <v>3.7723280961481049E-4</v>
      </c>
      <c r="J7" s="11">
        <f t="shared" si="1"/>
        <v>2.2048138726252271E-12</v>
      </c>
      <c r="K7" s="11">
        <f t="shared" si="1"/>
        <v>1.9486064995978938E-28</v>
      </c>
    </row>
    <row r="8" spans="1:13" x14ac:dyDescent="0.25">
      <c r="A8" s="2">
        <f>A7+1</f>
        <v>2</v>
      </c>
      <c r="B8" s="11">
        <f t="shared" ref="B8:K16" si="2">(LOG10(ABS($A8*B$6)+4*(ABS($A8-2*B$6)^(1/3)))/EXP(POWER(ABS(B$6-3),3)))</f>
        <v>5.4343792585041282E-55</v>
      </c>
      <c r="C8" s="11">
        <f t="shared" si="2"/>
        <v>1.4781777907492334E-28</v>
      </c>
      <c r="D8" s="11">
        <f t="shared" si="2"/>
        <v>1.3201872868172051E-12</v>
      </c>
      <c r="E8" s="11">
        <f t="shared" si="2"/>
        <v>1.0098431342292087E-4</v>
      </c>
      <c r="F8" s="11">
        <f t="shared" si="2"/>
        <v>0.35174912648780615</v>
      </c>
      <c r="G8" s="11">
        <f t="shared" si="2"/>
        <v>1.0916530391267574</v>
      </c>
      <c r="H8" s="11">
        <f t="shared" si="2"/>
        <v>0.43549416384999079</v>
      </c>
      <c r="I8" s="11">
        <f t="shared" si="2"/>
        <v>4.2109701329572422E-4</v>
      </c>
      <c r="J8" s="11">
        <f t="shared" si="2"/>
        <v>2.4701538925290895E-12</v>
      </c>
      <c r="K8" s="11">
        <f t="shared" si="2"/>
        <v>2.1887138017784852E-28</v>
      </c>
    </row>
    <row r="9" spans="1:13" x14ac:dyDescent="0.25">
      <c r="A9" s="2">
        <f t="shared" ref="A9:A16" si="3">A8+1</f>
        <v>3</v>
      </c>
      <c r="B9" s="11">
        <f t="shared" si="2"/>
        <v>5.8648562395365185E-55</v>
      </c>
      <c r="C9" s="11">
        <f t="shared" si="2"/>
        <v>1.5925695426165528E-28</v>
      </c>
      <c r="D9" s="11">
        <f t="shared" si="2"/>
        <v>1.4305101520624723E-12</v>
      </c>
      <c r="E9" s="11">
        <f t="shared" si="2"/>
        <v>2.8349880933844471E-4</v>
      </c>
      <c r="F9" s="11">
        <f t="shared" si="2"/>
        <v>0.36787944117144233</v>
      </c>
      <c r="G9" s="11">
        <f t="shared" si="2"/>
        <v>1.1693510399505718</v>
      </c>
      <c r="H9" s="11">
        <f t="shared" si="2"/>
        <v>0.46907523245730925</v>
      </c>
      <c r="I9" s="11">
        <f t="shared" si="2"/>
        <v>4.5458583490001975E-4</v>
      </c>
      <c r="J9" s="11">
        <f t="shared" si="2"/>
        <v>2.6694786469101028E-12</v>
      </c>
      <c r="K9" s="11">
        <f t="shared" si="2"/>
        <v>2.366602480278325E-28</v>
      </c>
    </row>
    <row r="10" spans="1:13" x14ac:dyDescent="0.25">
      <c r="A10" s="2">
        <f t="shared" si="3"/>
        <v>4</v>
      </c>
      <c r="B10" s="11">
        <f t="shared" si="2"/>
        <v>6.2209903228059369E-55</v>
      </c>
      <c r="C10" s="11">
        <f t="shared" si="2"/>
        <v>1.6869932313995697E-28</v>
      </c>
      <c r="D10" s="11">
        <f t="shared" si="2"/>
        <v>1.5087854706482344E-12</v>
      </c>
      <c r="E10" s="11">
        <f t="shared" si="2"/>
        <v>3.2075368484378477E-4</v>
      </c>
      <c r="F10" s="11">
        <f t="shared" si="2"/>
        <v>0.33222823974212135</v>
      </c>
      <c r="G10" s="11">
        <f t="shared" si="2"/>
        <v>1.2314615416248762</v>
      </c>
      <c r="H10" s="11">
        <f t="shared" si="2"/>
        <v>0.49636863346208931</v>
      </c>
      <c r="I10" s="11">
        <f t="shared" si="2"/>
        <v>4.8161060108032358E-4</v>
      </c>
      <c r="J10" s="11">
        <f t="shared" si="2"/>
        <v>2.8289727574654397E-12</v>
      </c>
      <c r="K10" s="11">
        <f t="shared" si="2"/>
        <v>2.5078654924239119E-28</v>
      </c>
    </row>
    <row r="11" spans="1:13" x14ac:dyDescent="0.25">
      <c r="A11" s="2">
        <f t="shared" si="3"/>
        <v>5</v>
      </c>
      <c r="B11" s="11">
        <f t="shared" si="2"/>
        <v>6.5248452671390603E-55</v>
      </c>
      <c r="C11" s="11">
        <f t="shared" si="2"/>
        <v>1.7676397467545723E-28</v>
      </c>
      <c r="D11" s="11">
        <f t="shared" si="2"/>
        <v>1.5695005246681742E-12</v>
      </c>
      <c r="E11" s="11">
        <f t="shared" si="2"/>
        <v>3.4625624115915398E-4</v>
      </c>
      <c r="F11" s="11">
        <f t="shared" si="2"/>
        <v>0.42163694127623313</v>
      </c>
      <c r="G11" s="11">
        <f t="shared" si="2"/>
        <v>1.2787536009528289</v>
      </c>
      <c r="H11" s="11">
        <f t="shared" si="2"/>
        <v>0.51911377318117757</v>
      </c>
      <c r="I11" s="11">
        <f t="shared" si="2"/>
        <v>5.0419085181917808E-4</v>
      </c>
      <c r="J11" s="11">
        <f t="shared" si="2"/>
        <v>2.9617330811039514E-12</v>
      </c>
      <c r="K11" s="11">
        <f t="shared" si="2"/>
        <v>2.6249441482808616E-28</v>
      </c>
    </row>
    <row r="12" spans="1:13" x14ac:dyDescent="0.25">
      <c r="A12" s="2">
        <f t="shared" si="3"/>
        <v>6</v>
      </c>
      <c r="B12" s="11">
        <f t="shared" si="2"/>
        <v>6.7899219870150214E-55</v>
      </c>
      <c r="C12" s="11">
        <f t="shared" si="2"/>
        <v>1.8381726255838759E-28</v>
      </c>
      <c r="D12" s="11">
        <f t="shared" si="2"/>
        <v>1.6191083358935016E-12</v>
      </c>
      <c r="E12" s="11">
        <f t="shared" si="2"/>
        <v>3.6620879726322563E-4</v>
      </c>
      <c r="F12" s="11">
        <f t="shared" si="2"/>
        <v>0.45302938375708235</v>
      </c>
      <c r="G12" s="11">
        <f t="shared" si="2"/>
        <v>1.255272505103306</v>
      </c>
      <c r="H12" s="11">
        <f t="shared" si="2"/>
        <v>0.53820463863472778</v>
      </c>
      <c r="I12" s="11">
        <f t="shared" si="2"/>
        <v>5.2348932564473647E-4</v>
      </c>
      <c r="J12" s="11">
        <f t="shared" si="2"/>
        <v>3.0752317888885618E-12</v>
      </c>
      <c r="K12" s="11">
        <f t="shared" si="2"/>
        <v>2.7248265956695733E-28</v>
      </c>
    </row>
    <row r="13" spans="1:13" x14ac:dyDescent="0.25">
      <c r="A13" s="2">
        <f t="shared" si="3"/>
        <v>7</v>
      </c>
      <c r="B13" s="11">
        <f t="shared" si="2"/>
        <v>7.0250823336481634E-55</v>
      </c>
      <c r="C13" s="11">
        <f t="shared" si="2"/>
        <v>1.9009461598472602E-28</v>
      </c>
      <c r="D13" s="11">
        <f t="shared" si="2"/>
        <v>1.6610511426553409E-12</v>
      </c>
      <c r="E13" s="11">
        <f t="shared" si="2"/>
        <v>3.8280749877402722E-4</v>
      </c>
      <c r="F13" s="11">
        <f t="shared" si="2"/>
        <v>0.47676611383059292</v>
      </c>
      <c r="G13" s="11">
        <f t="shared" si="2"/>
        <v>1.3979400086720377</v>
      </c>
      <c r="H13" s="11">
        <f t="shared" si="2"/>
        <v>0.55371373290353554</v>
      </c>
      <c r="I13" s="11">
        <f t="shared" si="2"/>
        <v>5.40205547245938E-4</v>
      </c>
      <c r="J13" s="11">
        <f t="shared" si="2"/>
        <v>3.1741009007286666E-12</v>
      </c>
      <c r="K13" s="11">
        <f t="shared" si="2"/>
        <v>2.8118223213884389E-28</v>
      </c>
    </row>
    <row r="14" spans="1:13" x14ac:dyDescent="0.25">
      <c r="A14" s="2">
        <f t="shared" si="3"/>
        <v>8</v>
      </c>
      <c r="B14" s="11">
        <f t="shared" si="2"/>
        <v>7.2364564562979622E-55</v>
      </c>
      <c r="C14" s="11">
        <f t="shared" si="2"/>
        <v>1.9575665497682832E-28</v>
      </c>
      <c r="D14" s="11">
        <f t="shared" si="2"/>
        <v>1.6973836544792637E-12</v>
      </c>
      <c r="E14" s="11">
        <f t="shared" si="2"/>
        <v>3.9711927411905008E-4</v>
      </c>
      <c r="F14" s="11">
        <f t="shared" si="2"/>
        <v>0.49636863346208931</v>
      </c>
      <c r="G14" s="11">
        <f t="shared" si="2"/>
        <v>1.4629918891931475</v>
      </c>
      <c r="H14" s="11">
        <f t="shared" si="2"/>
        <v>0.55371373290353554</v>
      </c>
      <c r="I14" s="11">
        <f t="shared" si="2"/>
        <v>5.5471943715454375E-4</v>
      </c>
      <c r="J14" s="11">
        <f t="shared" si="2"/>
        <v>3.2613516093811892E-12</v>
      </c>
      <c r="K14" s="11">
        <f t="shared" si="2"/>
        <v>2.8887639954806512E-28</v>
      </c>
    </row>
    <row r="15" spans="1:13" x14ac:dyDescent="0.25">
      <c r="A15" s="2">
        <f t="shared" si="3"/>
        <v>9</v>
      </c>
      <c r="B15" s="11">
        <f t="shared" si="2"/>
        <v>7.4284613129438512E-55</v>
      </c>
      <c r="C15" s="11">
        <f t="shared" si="2"/>
        <v>2.0091805700627685E-28</v>
      </c>
      <c r="D15" s="11">
        <f t="shared" si="2"/>
        <v>1.7294312011387689E-12</v>
      </c>
      <c r="E15" s="11">
        <f t="shared" si="2"/>
        <v>4.097539208138091E-4</v>
      </c>
      <c r="F15" s="11">
        <f t="shared" si="2"/>
        <v>0.51324696899815048</v>
      </c>
      <c r="G15" s="11">
        <f t="shared" si="2"/>
        <v>1.5154631655940412</v>
      </c>
      <c r="H15" s="11">
        <f t="shared" si="2"/>
        <v>0.58936493433285653</v>
      </c>
      <c r="I15" s="11">
        <f t="shared" si="2"/>
        <v>5.6699761867688942E-4</v>
      </c>
      <c r="J15" s="11">
        <f t="shared" si="2"/>
        <v>3.3389377910165502E-12</v>
      </c>
      <c r="K15" s="11">
        <f t="shared" si="2"/>
        <v>2.9575934889472621E-28</v>
      </c>
    </row>
    <row r="16" spans="1:13" x14ac:dyDescent="0.25">
      <c r="A16" s="2">
        <f t="shared" si="3"/>
        <v>10</v>
      </c>
      <c r="B16" s="11">
        <f t="shared" si="2"/>
        <v>7.6043849751036284E-55</v>
      </c>
      <c r="C16" s="11">
        <f t="shared" si="2"/>
        <v>2.0566367660878917E-28</v>
      </c>
      <c r="D16" s="11">
        <f t="shared" si="2"/>
        <v>1.7580987084992037E-12</v>
      </c>
      <c r="E16" s="11">
        <f t="shared" si="2"/>
        <v>4.2109701329572422E-4</v>
      </c>
      <c r="F16" s="11">
        <f t="shared" si="2"/>
        <v>0.52815015459534365</v>
      </c>
      <c r="G16" s="11">
        <f t="shared" si="2"/>
        <v>1.5604996864117655</v>
      </c>
      <c r="H16" s="11">
        <f t="shared" si="2"/>
        <v>0.60832372840844418</v>
      </c>
      <c r="I16" s="11">
        <f t="shared" si="2"/>
        <v>5.6994094238210281E-4</v>
      </c>
      <c r="J16" s="11">
        <f t="shared" si="2"/>
        <v>3.4079210971956797E-12</v>
      </c>
      <c r="K16" s="11">
        <f t="shared" si="2"/>
        <v>3.0196660346645796E-28</v>
      </c>
    </row>
  </sheetData>
  <mergeCells count="1">
    <mergeCell ref="A1:M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E76F-DA6A-4B9B-AE62-AD6DA262CCCA}">
  <dimension ref="A1:I23"/>
  <sheetViews>
    <sheetView workbookViewId="0">
      <selection activeCell="G20" sqref="G20"/>
    </sheetView>
  </sheetViews>
  <sheetFormatPr defaultRowHeight="15" x14ac:dyDescent="0.25"/>
  <cols>
    <col min="1" max="1" width="11.7109375" customWidth="1"/>
    <col min="2" max="2" width="14.42578125" bestFit="1" customWidth="1"/>
    <col min="3" max="3" width="10.28515625" bestFit="1" customWidth="1"/>
    <col min="4" max="4" width="8.28515625" customWidth="1"/>
    <col min="5" max="5" width="8.140625" customWidth="1"/>
    <col min="7" max="7" width="13.85546875" customWidth="1"/>
    <col min="8" max="9" width="9.85546875" customWidth="1"/>
  </cols>
  <sheetData>
    <row r="1" spans="1:9" ht="30" customHeight="1" x14ac:dyDescent="0.25">
      <c r="A1" s="21" t="s">
        <v>12</v>
      </c>
      <c r="B1" s="21"/>
      <c r="C1" s="21"/>
      <c r="D1" s="21"/>
      <c r="E1" s="21"/>
      <c r="G1" s="22" t="s">
        <v>18</v>
      </c>
      <c r="H1" s="22"/>
      <c r="I1" s="22"/>
    </row>
    <row r="2" spans="1:9" ht="54" customHeight="1" x14ac:dyDescent="0.25">
      <c r="A2" s="2" t="s">
        <v>13</v>
      </c>
      <c r="B2" s="2" t="s">
        <v>14</v>
      </c>
      <c r="C2" s="2" t="s">
        <v>15</v>
      </c>
      <c r="D2" s="6" t="s">
        <v>16</v>
      </c>
      <c r="E2" s="6" t="s">
        <v>17</v>
      </c>
      <c r="G2" s="6" t="s">
        <v>16</v>
      </c>
      <c r="H2" s="6" t="s">
        <v>19</v>
      </c>
      <c r="I2" s="6" t="s">
        <v>20</v>
      </c>
    </row>
    <row r="3" spans="1:9" ht="33.75" customHeight="1" x14ac:dyDescent="0.25">
      <c r="A3" s="7">
        <v>39052</v>
      </c>
      <c r="B3" s="2" t="s">
        <v>23</v>
      </c>
      <c r="C3" s="2" t="s">
        <v>31</v>
      </c>
      <c r="D3" s="2" t="s">
        <v>34</v>
      </c>
      <c r="E3" s="2">
        <f>IF(C3="Ф",IF(D3="БП",$H$4,IF(D3="ПП",$H$3,"ошибка")),IF(C3="Ю",IF(D3="БП",$I$4,IF(D3="ПП",$I$3,"ошибка")),"ошибка"))</f>
        <v>3650</v>
      </c>
      <c r="G3" s="6" t="s">
        <v>21</v>
      </c>
      <c r="H3" s="2">
        <v>1150</v>
      </c>
      <c r="I3" s="2">
        <v>3500</v>
      </c>
    </row>
    <row r="4" spans="1:9" ht="33.75" customHeight="1" x14ac:dyDescent="0.25">
      <c r="A4" s="7">
        <v>39053</v>
      </c>
      <c r="B4" s="2" t="s">
        <v>24</v>
      </c>
      <c r="C4" s="2" t="s">
        <v>31</v>
      </c>
      <c r="D4" s="2" t="s">
        <v>35</v>
      </c>
      <c r="E4" s="2">
        <f t="shared" ref="E4:E17" si="0">IF(C4="Ф",IF(D4="БП",$H$4,IF(D4="ПП",$H$3,"ошибка")),IF(C4="Ю",IF(D4="БП",$I$4,IF(D4="ПП",$I$3,"ошибка")),"ошибка"))</f>
        <v>1150</v>
      </c>
      <c r="G4" s="6" t="s">
        <v>22</v>
      </c>
      <c r="H4" s="2">
        <v>3650</v>
      </c>
      <c r="I4" s="2">
        <v>5000</v>
      </c>
    </row>
    <row r="5" spans="1:9" x14ac:dyDescent="0.25">
      <c r="A5" s="7">
        <v>39053</v>
      </c>
      <c r="B5" s="2" t="s">
        <v>25</v>
      </c>
      <c r="C5" s="2" t="s">
        <v>32</v>
      </c>
      <c r="D5" s="2" t="s">
        <v>35</v>
      </c>
      <c r="E5" s="2">
        <f t="shared" si="0"/>
        <v>3500</v>
      </c>
    </row>
    <row r="6" spans="1:9" x14ac:dyDescent="0.25">
      <c r="A6" s="7">
        <v>39054</v>
      </c>
      <c r="B6" s="2" t="s">
        <v>26</v>
      </c>
      <c r="C6" s="2" t="s">
        <v>33</v>
      </c>
      <c r="D6" s="2" t="s">
        <v>34</v>
      </c>
      <c r="E6" s="2" t="str">
        <f t="shared" si="0"/>
        <v>ошибка</v>
      </c>
    </row>
    <row r="7" spans="1:9" x14ac:dyDescent="0.25">
      <c r="A7" s="7">
        <v>39054</v>
      </c>
      <c r="B7" s="2" t="s">
        <v>27</v>
      </c>
      <c r="C7" s="2" t="s">
        <v>32</v>
      </c>
      <c r="D7" s="2" t="s">
        <v>34</v>
      </c>
      <c r="E7" s="2">
        <f t="shared" si="0"/>
        <v>5000</v>
      </c>
    </row>
    <row r="8" spans="1:9" x14ac:dyDescent="0.25">
      <c r="A8" s="7">
        <v>39055</v>
      </c>
      <c r="B8" s="2" t="s">
        <v>28</v>
      </c>
      <c r="C8" s="2" t="s">
        <v>31</v>
      </c>
      <c r="D8" s="2" t="s">
        <v>36</v>
      </c>
      <c r="E8" s="2" t="str">
        <f t="shared" si="0"/>
        <v>ошибка</v>
      </c>
    </row>
    <row r="9" spans="1:9" x14ac:dyDescent="0.25">
      <c r="A9" s="7">
        <v>39056</v>
      </c>
      <c r="B9" s="2" t="s">
        <v>29</v>
      </c>
      <c r="C9" s="2" t="s">
        <v>31</v>
      </c>
      <c r="D9" s="2" t="s">
        <v>34</v>
      </c>
      <c r="E9" s="2">
        <f t="shared" si="0"/>
        <v>3650</v>
      </c>
    </row>
    <row r="10" spans="1:9" x14ac:dyDescent="0.25">
      <c r="A10" s="7">
        <v>39056</v>
      </c>
      <c r="B10" s="2" t="s">
        <v>30</v>
      </c>
      <c r="C10" s="2" t="s">
        <v>32</v>
      </c>
      <c r="D10" s="2" t="s">
        <v>35</v>
      </c>
      <c r="E10" s="2">
        <f t="shared" si="0"/>
        <v>3500</v>
      </c>
    </row>
    <row r="11" spans="1:9" x14ac:dyDescent="0.25">
      <c r="A11" s="7">
        <v>39057</v>
      </c>
      <c r="B11" s="8" t="s">
        <v>37</v>
      </c>
      <c r="C11" s="8" t="s">
        <v>31</v>
      </c>
      <c r="D11" s="8" t="s">
        <v>34</v>
      </c>
      <c r="E11" s="8">
        <f t="shared" si="0"/>
        <v>3650</v>
      </c>
    </row>
    <row r="12" spans="1:9" x14ac:dyDescent="0.25">
      <c r="A12" s="7">
        <v>39058</v>
      </c>
      <c r="B12" s="8" t="s">
        <v>38</v>
      </c>
      <c r="C12" s="8" t="s">
        <v>31</v>
      </c>
      <c r="D12" s="8" t="s">
        <v>35</v>
      </c>
      <c r="E12" s="8">
        <f t="shared" si="0"/>
        <v>1150</v>
      </c>
    </row>
    <row r="13" spans="1:9" x14ac:dyDescent="0.25">
      <c r="A13" s="7">
        <v>39058</v>
      </c>
      <c r="B13" s="8" t="s">
        <v>42</v>
      </c>
      <c r="C13" s="8" t="s">
        <v>31</v>
      </c>
      <c r="D13" s="8" t="s">
        <v>36</v>
      </c>
      <c r="E13" s="8" t="str">
        <f t="shared" si="0"/>
        <v>ошибка</v>
      </c>
    </row>
    <row r="14" spans="1:9" x14ac:dyDescent="0.25">
      <c r="A14" s="7">
        <v>39059</v>
      </c>
      <c r="B14" s="8" t="s">
        <v>39</v>
      </c>
      <c r="C14" s="8" t="s">
        <v>32</v>
      </c>
      <c r="D14" s="8" t="s">
        <v>35</v>
      </c>
      <c r="E14" s="8">
        <f t="shared" si="0"/>
        <v>3500</v>
      </c>
    </row>
    <row r="15" spans="1:9" x14ac:dyDescent="0.25">
      <c r="A15" s="7">
        <v>39060</v>
      </c>
      <c r="B15" s="8" t="s">
        <v>40</v>
      </c>
      <c r="C15" s="8" t="s">
        <v>32</v>
      </c>
      <c r="D15" s="8" t="s">
        <v>34</v>
      </c>
      <c r="E15" s="8">
        <f t="shared" si="0"/>
        <v>5000</v>
      </c>
    </row>
    <row r="16" spans="1:9" x14ac:dyDescent="0.25">
      <c r="A16" s="7">
        <v>39060</v>
      </c>
      <c r="B16" s="8" t="s">
        <v>43</v>
      </c>
      <c r="C16" s="8" t="s">
        <v>32</v>
      </c>
      <c r="D16" s="8" t="s">
        <v>36</v>
      </c>
      <c r="E16" s="8" t="str">
        <f t="shared" si="0"/>
        <v>ошибка</v>
      </c>
    </row>
    <row r="17" spans="1:5" x14ac:dyDescent="0.25">
      <c r="A17" s="7">
        <v>39061</v>
      </c>
      <c r="B17" s="8" t="s">
        <v>41</v>
      </c>
      <c r="C17" s="8" t="s">
        <v>33</v>
      </c>
      <c r="D17" s="8" t="s">
        <v>35</v>
      </c>
      <c r="E17" s="8" t="str">
        <f t="shared" si="0"/>
        <v>ошибка</v>
      </c>
    </row>
    <row r="20" spans="1:5" x14ac:dyDescent="0.25">
      <c r="A20" s="23" t="s">
        <v>44</v>
      </c>
      <c r="B20" s="23"/>
      <c r="C20" s="23"/>
      <c r="D20" s="23"/>
      <c r="E20" s="9">
        <f>MAX(E3:E17)</f>
        <v>5000</v>
      </c>
    </row>
    <row r="21" spans="1:5" x14ac:dyDescent="0.25">
      <c r="A21" s="23" t="s">
        <v>45</v>
      </c>
      <c r="B21" s="23"/>
      <c r="C21" s="23"/>
      <c r="D21" s="23"/>
      <c r="E21" s="9">
        <f>MIN(E3:E17)</f>
        <v>1150</v>
      </c>
    </row>
    <row r="22" spans="1:5" ht="30" customHeight="1" x14ac:dyDescent="0.25">
      <c r="A22" s="20" t="s">
        <v>46</v>
      </c>
      <c r="B22" s="20"/>
      <c r="C22" s="20"/>
      <c r="D22" s="20"/>
      <c r="E22" s="9">
        <f>COUNTIFS(C3:C17,"Ф",D3:D17,"БП")</f>
        <v>3</v>
      </c>
    </row>
    <row r="23" spans="1:5" ht="29.25" customHeight="1" x14ac:dyDescent="0.25">
      <c r="A23" s="20" t="s">
        <v>47</v>
      </c>
      <c r="B23" s="20"/>
      <c r="C23" s="20"/>
      <c r="D23" s="20"/>
      <c r="E23" s="9">
        <f>COUNTIF(E3:E17,E21)</f>
        <v>2</v>
      </c>
    </row>
  </sheetData>
  <mergeCells count="6">
    <mergeCell ref="A23:D23"/>
    <mergeCell ref="A1:E1"/>
    <mergeCell ref="G1:I1"/>
    <mergeCell ref="A20:D20"/>
    <mergeCell ref="A21:D21"/>
    <mergeCell ref="A22:D22"/>
  </mergeCells>
  <conditionalFormatting sqref="D1:D19 D24:D1048576">
    <cfRule type="containsText" dxfId="0" priority="1" operator="containsText" text="БП">
      <formula>NOT(ISERROR(SEARCH("БП",D1)))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C1A6-4007-4568-BE7C-460BBCD1148B}">
  <dimension ref="A1:G6"/>
  <sheetViews>
    <sheetView workbookViewId="0">
      <selection activeCell="H7" sqref="H7"/>
    </sheetView>
  </sheetViews>
  <sheetFormatPr defaultRowHeight="15" x14ac:dyDescent="0.25"/>
  <cols>
    <col min="4" max="6" width="9.85546875" bestFit="1" customWidth="1"/>
  </cols>
  <sheetData>
    <row r="1" spans="1:7" ht="15.75" x14ac:dyDescent="0.25">
      <c r="A1" s="17" t="s">
        <v>48</v>
      </c>
      <c r="B1" s="17"/>
      <c r="C1" s="17"/>
      <c r="D1" s="17"/>
      <c r="E1" s="17"/>
      <c r="F1" s="17"/>
      <c r="G1" s="17"/>
    </row>
    <row r="2" spans="1:7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9</v>
      </c>
    </row>
    <row r="3" spans="1:7" x14ac:dyDescent="0.25">
      <c r="A3" s="2">
        <v>8.5</v>
      </c>
      <c r="B3" s="2">
        <v>0</v>
      </c>
      <c r="C3" s="2">
        <v>0</v>
      </c>
      <c r="D3" s="2">
        <f>2*A3+B3-C3</f>
        <v>17</v>
      </c>
      <c r="E3" s="2">
        <f>A3+6*B3-3*C3</f>
        <v>8.5</v>
      </c>
      <c r="F3" s="2">
        <f>-7*A3+12*B3+6*C3</f>
        <v>-59.5</v>
      </c>
      <c r="G3" s="2">
        <f>4*A3+B3-5*C3</f>
        <v>34</v>
      </c>
    </row>
    <row r="5" spans="1:7" x14ac:dyDescent="0.25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10</v>
      </c>
    </row>
    <row r="6" spans="1:7" x14ac:dyDescent="0.25">
      <c r="A6" s="2">
        <v>0</v>
      </c>
      <c r="B6" s="2">
        <v>11.162162162162161</v>
      </c>
      <c r="C6" s="2">
        <v>3.486486486486486</v>
      </c>
      <c r="D6" s="2">
        <f>-2*A6+4*B6+11*C6</f>
        <v>83</v>
      </c>
      <c r="E6" s="2">
        <f>4*A6-2*B6+9*C6</f>
        <v>9.0540540540540491</v>
      </c>
      <c r="F6" s="2">
        <f>8*A6+3*B6-C6</f>
        <v>30</v>
      </c>
      <c r="G6" s="2">
        <f>2*A6+7*B6-C6</f>
        <v>74.648648648648646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B070-25DC-4D02-9E72-0E5D30D40267}">
  <dimension ref="A1:F11"/>
  <sheetViews>
    <sheetView tabSelected="1" zoomScale="180" workbookViewId="0">
      <selection activeCell="G9" sqref="G9"/>
    </sheetView>
  </sheetViews>
  <sheetFormatPr defaultRowHeight="15" x14ac:dyDescent="0.25"/>
  <cols>
    <col min="1" max="1" width="39" customWidth="1"/>
    <col min="2" max="3" width="19.7109375" customWidth="1"/>
    <col min="4" max="5" width="13.140625" style="1" customWidth="1"/>
    <col min="6" max="6" width="9.7109375" customWidth="1"/>
  </cols>
  <sheetData>
    <row r="1" spans="1:6" ht="15.75" x14ac:dyDescent="0.25">
      <c r="A1" s="25" t="s">
        <v>55</v>
      </c>
      <c r="B1" s="25"/>
      <c r="C1" s="25"/>
      <c r="D1" s="25"/>
      <c r="E1" s="25"/>
      <c r="F1" s="25"/>
    </row>
    <row r="2" spans="1:6" ht="34.5" customHeight="1" x14ac:dyDescent="0.25">
      <c r="A2" s="26" t="s">
        <v>56</v>
      </c>
      <c r="B2" s="24" t="s">
        <v>57</v>
      </c>
      <c r="C2" s="24"/>
      <c r="D2" s="24" t="s">
        <v>68</v>
      </c>
      <c r="E2" s="24"/>
      <c r="F2" s="24" t="s">
        <v>69</v>
      </c>
    </row>
    <row r="3" spans="1:6" x14ac:dyDescent="0.25">
      <c r="A3" s="26"/>
      <c r="B3" s="2" t="s">
        <v>58</v>
      </c>
      <c r="C3" s="2" t="s">
        <v>59</v>
      </c>
      <c r="D3" s="2" t="s">
        <v>58</v>
      </c>
      <c r="E3" s="2" t="s">
        <v>59</v>
      </c>
      <c r="F3" s="24"/>
    </row>
    <row r="4" spans="1:6" x14ac:dyDescent="0.25">
      <c r="A4" s="12" t="s">
        <v>60</v>
      </c>
      <c r="B4" s="2">
        <v>33159</v>
      </c>
      <c r="C4" s="2">
        <v>33159</v>
      </c>
      <c r="D4" s="13">
        <f t="shared" ref="D4:E10" si="0">B4/B$11</f>
        <v>5.6667424305862933E-2</v>
      </c>
      <c r="E4" s="13">
        <f t="shared" si="0"/>
        <v>4.763204428936909E-2</v>
      </c>
      <c r="F4" s="4">
        <f>(C4/B4 - 1)</f>
        <v>0</v>
      </c>
    </row>
    <row r="5" spans="1:6" x14ac:dyDescent="0.25">
      <c r="A5" s="12" t="s">
        <v>61</v>
      </c>
      <c r="B5" s="2">
        <v>139362</v>
      </c>
      <c r="C5" s="2">
        <v>142910</v>
      </c>
      <c r="D5" s="13">
        <f t="shared" si="0"/>
        <v>0.23816416617249223</v>
      </c>
      <c r="E5" s="13">
        <f t="shared" si="0"/>
        <v>0.20528651193925437</v>
      </c>
      <c r="F5" s="4">
        <f t="shared" ref="F5:F10" si="1">(C5/B5 - 1)</f>
        <v>2.5458876881789827E-2</v>
      </c>
    </row>
    <row r="6" spans="1:6" x14ac:dyDescent="0.25">
      <c r="A6" s="12" t="s">
        <v>62</v>
      </c>
      <c r="B6" s="2">
        <v>127327</v>
      </c>
      <c r="C6" s="2">
        <v>134297</v>
      </c>
      <c r="D6" s="13">
        <f t="shared" si="0"/>
        <v>0.2175968254348023</v>
      </c>
      <c r="E6" s="13">
        <f t="shared" si="0"/>
        <v>0.19291416061791369</v>
      </c>
      <c r="F6" s="4">
        <f t="shared" si="1"/>
        <v>5.4740942612328869E-2</v>
      </c>
    </row>
    <row r="7" spans="1:6" x14ac:dyDescent="0.25">
      <c r="A7" s="12" t="s">
        <v>63</v>
      </c>
      <c r="B7" s="2">
        <v>262482</v>
      </c>
      <c r="C7" s="2">
        <v>360535</v>
      </c>
      <c r="D7" s="13">
        <f t="shared" si="0"/>
        <v>0.44857139439221672</v>
      </c>
      <c r="E7" s="13">
        <f t="shared" si="0"/>
        <v>0.51789918537554458</v>
      </c>
      <c r="F7" s="4">
        <f t="shared" si="1"/>
        <v>0.37356085369663439</v>
      </c>
    </row>
    <row r="8" spans="1:6" x14ac:dyDescent="0.25">
      <c r="A8" s="12" t="s">
        <v>64</v>
      </c>
      <c r="B8" s="2">
        <v>17532</v>
      </c>
      <c r="C8" s="2">
        <v>19371</v>
      </c>
      <c r="D8" s="13">
        <f t="shared" si="0"/>
        <v>2.9961497117837958E-2</v>
      </c>
      <c r="E8" s="13">
        <f t="shared" si="0"/>
        <v>2.7825939561789213E-2</v>
      </c>
      <c r="F8" s="4">
        <f t="shared" si="1"/>
        <v>0.10489390828199863</v>
      </c>
    </row>
    <row r="9" spans="1:6" x14ac:dyDescent="0.25">
      <c r="A9" s="12" t="s">
        <v>65</v>
      </c>
      <c r="B9" s="2">
        <v>4966</v>
      </c>
      <c r="C9" s="2">
        <v>5554</v>
      </c>
      <c r="D9" s="13">
        <f t="shared" si="0"/>
        <v>8.4866983052237794E-3</v>
      </c>
      <c r="E9" s="13">
        <f t="shared" si="0"/>
        <v>7.9781770856526407E-3</v>
      </c>
      <c r="F9" s="4">
        <f t="shared" si="1"/>
        <v>0.11840515505436966</v>
      </c>
    </row>
    <row r="10" spans="1:6" x14ac:dyDescent="0.25">
      <c r="A10" s="12" t="s">
        <v>66</v>
      </c>
      <c r="B10" s="2">
        <v>323</v>
      </c>
      <c r="C10" s="2">
        <v>323</v>
      </c>
      <c r="D10" s="13">
        <f t="shared" si="0"/>
        <v>5.5199427156409206E-4</v>
      </c>
      <c r="E10" s="13">
        <f t="shared" si="0"/>
        <v>4.6398113047637789E-4</v>
      </c>
      <c r="F10" s="4">
        <f t="shared" si="1"/>
        <v>0</v>
      </c>
    </row>
    <row r="11" spans="1:6" x14ac:dyDescent="0.25">
      <c r="A11" s="14" t="s">
        <v>67</v>
      </c>
      <c r="B11" s="5">
        <f>SUM(B4:B10)</f>
        <v>585151</v>
      </c>
      <c r="C11" s="5">
        <f>SUM(C4:C10)</f>
        <v>696149</v>
      </c>
    </row>
  </sheetData>
  <mergeCells count="5">
    <mergeCell ref="F2:F3"/>
    <mergeCell ref="A1:F1"/>
    <mergeCell ref="A2:A3"/>
    <mergeCell ref="B2:C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B79C-949B-4D5E-9194-3FC5A97BB3C4}">
  <dimension ref="A1"/>
  <sheetViews>
    <sheetView workbookViewId="0">
      <selection activeCell="D26" sqref="D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27EE-E14B-41FC-977D-0BA31DAD2905}">
  <dimension ref="A1"/>
  <sheetViews>
    <sheetView workbookViewId="0">
      <selection activeCell="Q10" sqref="Q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Приложение №1. Задание 1</vt:lpstr>
      <vt:lpstr>Приложение №1. Задание 2</vt:lpstr>
      <vt:lpstr>Приложение №1. Задание 3</vt:lpstr>
      <vt:lpstr>Приложение №2</vt:lpstr>
      <vt:lpstr>Приложение №3. Задание 1</vt:lpstr>
      <vt:lpstr>Приложение №3. Задание 2</vt:lpstr>
      <vt:lpstr>Прил. №3. Задание 2. Раб.лист 1</vt:lpstr>
      <vt:lpstr>Прил. №3. Задание 2. Раб.лист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Дудко</dc:creator>
  <cp:lastModifiedBy>Матвей Дудко</cp:lastModifiedBy>
  <dcterms:created xsi:type="dcterms:W3CDTF">2015-06-05T18:19:34Z</dcterms:created>
  <dcterms:modified xsi:type="dcterms:W3CDTF">2019-10-29T08:46:53Z</dcterms:modified>
</cp:coreProperties>
</file>